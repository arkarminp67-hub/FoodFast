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it\Documents\"/>
    </mc:Choice>
  </mc:AlternateContent>
  <xr:revisionPtr revIDLastSave="0" documentId="8_{B84488FC-92F0-4247-ABE7-8DEE5DFB556E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Raw Responses" sheetId="1" r:id="rId1"/>
    <sheet name="Dashboard Insights" sheetId="2" r:id="rId2"/>
  </sheets>
  <definedNames>
    <definedName name="_xlnm._FilterDatabase" localSheetId="0" hidden="1">'Raw Responses'!$A$1:$H$41</definedName>
  </definedNames>
  <calcPr calcId="179021"/>
  <fileRecoveryPr repairLoad="1"/>
</workbook>
</file>

<file path=xl/calcChain.xml><?xml version="1.0" encoding="utf-8"?>
<calcChain xmlns="http://schemas.openxmlformats.org/spreadsheetml/2006/main">
  <c r="G14" i="2" l="1"/>
  <c r="H14" i="2" s="1"/>
  <c r="C14" i="2"/>
  <c r="D14" i="2" s="1"/>
  <c r="G13" i="2"/>
  <c r="H13" i="2" s="1"/>
  <c r="C13" i="2"/>
  <c r="D13" i="2" s="1"/>
  <c r="G12" i="2"/>
  <c r="H12" i="2" s="1"/>
  <c r="C12" i="2"/>
  <c r="D12" i="2" s="1"/>
  <c r="G11" i="2"/>
  <c r="G15" i="2" s="1"/>
  <c r="C11" i="2"/>
  <c r="D11" i="2" s="1"/>
  <c r="H6" i="2"/>
  <c r="F6" i="2"/>
  <c r="D6" i="2"/>
  <c r="B6" i="2"/>
  <c r="D15" i="2" l="1"/>
  <c r="C15" i="2"/>
  <c r="H11" i="2"/>
  <c r="H15" i="2" s="1"/>
</calcChain>
</file>

<file path=xl/sharedStrings.xml><?xml version="1.0" encoding="utf-8"?>
<sst xmlns="http://schemas.openxmlformats.org/spreadsheetml/2006/main" count="312" uniqueCount="80">
  <si>
    <t>Timestamp</t>
  </si>
  <si>
    <t>Role on Campus</t>
  </si>
  <si>
    <t>Cafeteria Frequency</t>
  </si>
  <si>
    <t>Avg Peak Wait Time</t>
  </si>
  <si>
    <t>Skipped Meal / Late to Class?</t>
  </si>
  <si>
    <t>Primary Frustration</t>
  </si>
  <si>
    <t>App Likelihood Score (1-5)</t>
  </si>
  <si>
    <t>Preferred Payment Method</t>
  </si>
  <si>
    <t>2026-06-21 00:22:00</t>
  </si>
  <si>
    <t>Student</t>
  </si>
  <si>
    <t>Daily</t>
  </si>
  <si>
    <t>11-20 mins</t>
  </si>
  <si>
    <t>Yes</t>
  </si>
  <si>
    <t>Long queues</t>
  </si>
  <si>
    <t>Digital Wallet / QR</t>
  </si>
  <si>
    <t>2026-06-20 21:02:00</t>
  </si>
  <si>
    <t>Less than 5 mins</t>
  </si>
  <si>
    <t>No</t>
  </si>
  <si>
    <t>2026-06-23 13:47:00</t>
  </si>
  <si>
    <t>2026-06-20 10:03:00</t>
  </si>
  <si>
    <t>2-3 times a week</t>
  </si>
  <si>
    <t>5-10 mins</t>
  </si>
  <si>
    <t>2026-06-22 07:07:00</t>
  </si>
  <si>
    <t>2026-06-22 23:53:00</t>
  </si>
  <si>
    <t>More than 20 mins</t>
  </si>
  <si>
    <t>2026-06-22 10:32:00</t>
  </si>
  <si>
    <t>2026-06-21 16:57:00</t>
  </si>
  <si>
    <t>Credit/Debit Card</t>
  </si>
  <si>
    <t>2026-06-21 21:37:00</t>
  </si>
  <si>
    <t>2026-06-23 00:16:00</t>
  </si>
  <si>
    <t>Food runs out</t>
  </si>
  <si>
    <t>2026-06-20 16:48:00</t>
  </si>
  <si>
    <t>2026-06-23 14:36:00</t>
  </si>
  <si>
    <t>2026-06-21 21:19:00</t>
  </si>
  <si>
    <t>2026-06-22 10:35:00</t>
  </si>
  <si>
    <t>2026-06-21 07:00:00</t>
  </si>
  <si>
    <t>2026-06-23 12:42:00</t>
  </si>
  <si>
    <t>2026-06-21 21:35:00</t>
  </si>
  <si>
    <t>2026-06-21 21:07:00</t>
  </si>
  <si>
    <t>Rarely</t>
  </si>
  <si>
    <t>2026-06-23 06:28:00</t>
  </si>
  <si>
    <t>Cash-only vendors</t>
  </si>
  <si>
    <t>2026-06-23 09:34:00</t>
  </si>
  <si>
    <t>2026-06-22 03:09:00</t>
  </si>
  <si>
    <t>2026-06-23 09:53:00</t>
  </si>
  <si>
    <t>2026-06-23 19:59:00</t>
  </si>
  <si>
    <t>2026-06-22 12:09:00</t>
  </si>
  <si>
    <t>2026-06-21 16:35:00</t>
  </si>
  <si>
    <t>2026-06-20 13:27:00</t>
  </si>
  <si>
    <t>2026-06-21 03:13:00</t>
  </si>
  <si>
    <t>2026-06-20 22:02:00</t>
  </si>
  <si>
    <t>2026-06-20 22:36:00</t>
  </si>
  <si>
    <t>2026-06-21 04:18:00</t>
  </si>
  <si>
    <t>Cash</t>
  </si>
  <si>
    <t>2026-06-23 12:18:00</t>
  </si>
  <si>
    <t>2026-06-21 17:26:00</t>
  </si>
  <si>
    <t>2026-06-22 14:28:00</t>
  </si>
  <si>
    <t>Faculty Staff</t>
  </si>
  <si>
    <t>2026-06-23 13:02:00</t>
  </si>
  <si>
    <t>2026-06-20 17:29:00</t>
  </si>
  <si>
    <t>2026-06-21 06:39:00</t>
  </si>
  <si>
    <t>2026-06-22 16:17:00</t>
  </si>
  <si>
    <t>2026-06-23 16:51:00</t>
  </si>
  <si>
    <t>2026-06-21 21:25:00</t>
  </si>
  <si>
    <t>2026-06-22 23:44:00</t>
  </si>
  <si>
    <t>FoodFast MVP - Lab 03 Customer Discovery Analysis</t>
  </si>
  <si>
    <t>Target Audience Problem Validation Summary (N = 40)</t>
  </si>
  <si>
    <t>Total Responses Received</t>
  </si>
  <si>
    <t>Problem Multiplier (Meal Skippers %)</t>
  </si>
  <si>
    <t>Avg App Likelihood Score</t>
  </si>
  <si>
    <t>Target Student Ratio</t>
  </si>
  <si>
    <t>Core Cafeteria Frustrations</t>
  </si>
  <si>
    <t>Wait Time Distribution</t>
  </si>
  <si>
    <t>Frustration Type</t>
  </si>
  <si>
    <t>Response Count</t>
  </si>
  <si>
    <t>Percentage</t>
  </si>
  <si>
    <t>Queue Duration</t>
  </si>
  <si>
    <t>Count</t>
  </si>
  <si>
    <t>Manual ticket confusion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</si>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</sst>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6"/>
      <color rgb="FF1F4E79"/>
      <name val="Segoe UI"/>
    </font>
    <font>
      <i/>
      <sz val="10"/>
      <name val="Segoe UI"/>
    </font>
    <font>
      <b/>
      <sz val="10"/>
      <name val="Segoe UI"/>
    </font>
    <font>
      <b/>
      <sz val="14"/>
      <color rgb="FF1F4E79"/>
      <name val="Segoe UI"/>
    </font>
    <font>
      <b/>
      <sz val="12"/>
      <color rgb="FF2C3E5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A4B7C"/>
        <bgColor rgb="FF2A4B7C"/>
      </patternFill>
    </fill>
    <fill>
      <patternFill patternType="solid">
        <fgColor rgb="FFF2F5F9"/>
        <bgColor rgb="FFF2F5F9"/>
      </patternFill>
    </fill>
    <fill>
      <patternFill patternType="solid">
        <fgColor rgb="FFE6EDF5"/>
        <bgColor rgb="FFE6EDF5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A0A0A0"/>
      </top>
      <bottom style="double">
        <color rgb="FF1F4E7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1" fontId="6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Breakdown of Student &amp; Staff Frustrations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'Dashboard Insights'!$C$10</c:f>
              <c:strCache>
                <c:ptCount val="1"/>
                <c:pt idx="0">
                  <c:v>Response 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'Dashboard Insights'!$B$11:$B$14</c:f>
              <c:strCache>
                <c:ptCount val="4"/>
                <c:pt idx="0">
                  <c:v>Long queues</c:v>
                </c:pt>
                <c:pt idx="1">
                  <c:v>Food runs out</c:v>
                </c:pt>
                <c:pt idx="2">
                  <c:v>Cash-only vendors</c:v>
                </c:pt>
                <c:pt idx="3">
                  <c:v>Manual ticket confusion</c:v>
                </c:pt>
              </c:strCache>
            </c:strRef>
          </c:cat>
          <c:val>
            <c:numRef>
              <c:f>'Dashboard Insights'!$C$11:$C$14</c:f>
              <c:numCache>
                <c:formatCode>#,##0</c:formatCode>
                <c:ptCount val="4"/>
                <c:pt idx="0">
                  <c:v>31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0-4E46-B16C-C60ABCD1F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Peak Hours Wait Times Experienced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Insights'!$G$10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Insights'!$F$11:$F$14</c:f>
              <c:strCache>
                <c:ptCount val="4"/>
                <c:pt idx="0">
                  <c:v>Less than 5 mins</c:v>
                </c:pt>
                <c:pt idx="1">
                  <c:v>5-10 mins</c:v>
                </c:pt>
                <c:pt idx="2">
                  <c:v>11-20 mins</c:v>
                </c:pt>
                <c:pt idx="3">
                  <c:v>More than 20 mins</c:v>
                </c:pt>
              </c:strCache>
            </c:strRef>
          </c:cat>
          <c:val>
            <c:numRef>
              <c:f>'Dashboard Insights'!$G$11:$G$14</c:f>
              <c:numCache>
                <c:formatCode>#,##0</c:formatCode>
                <c:ptCount val="4"/>
                <c:pt idx="0">
                  <c:v>5</c:v>
                </c:pt>
                <c:pt idx="1">
                  <c:v>5</c:v>
                </c:pt>
                <c:pt idx="2">
                  <c:v>21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8-4166-91F7-9B815F708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Respondents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3960000" cy="23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16</xdr:row>
      <xdr:rowOff>0</xdr:rowOff>
    </xdr:from>
    <xdr:ext cx="3960000" cy="23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7" customWidth="1"/>
    <col min="3" max="3" width="22" customWidth="1"/>
    <col min="4" max="4" width="21" customWidth="1"/>
    <col min="5" max="5" width="32" customWidth="1"/>
    <col min="6" max="6" width="22" customWidth="1"/>
    <col min="7" max="7" width="29" customWidth="1"/>
    <col min="8" max="8" width="27" customWidth="1"/>
  </cols>
  <sheetData>
    <row r="1" spans="1:8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4">
        <v>5</v>
      </c>
      <c r="H2" s="3" t="s">
        <v>14</v>
      </c>
    </row>
    <row r="3" spans="1:8" ht="20.100000000000001" customHeight="1">
      <c r="A3" s="5" t="s">
        <v>15</v>
      </c>
      <c r="B3" s="6" t="s">
        <v>9</v>
      </c>
      <c r="C3" s="5" t="s">
        <v>10</v>
      </c>
      <c r="D3" s="5" t="s">
        <v>16</v>
      </c>
      <c r="E3" s="5" t="s">
        <v>17</v>
      </c>
      <c r="F3" s="6" t="s">
        <v>13</v>
      </c>
      <c r="G3" s="7">
        <v>2</v>
      </c>
      <c r="H3" s="6" t="s">
        <v>14</v>
      </c>
    </row>
    <row r="4" spans="1:8" ht="20.100000000000001" customHeight="1">
      <c r="A4" s="2" t="s">
        <v>18</v>
      </c>
      <c r="B4" s="3" t="s">
        <v>9</v>
      </c>
      <c r="C4" s="2" t="s">
        <v>10</v>
      </c>
      <c r="D4" s="2" t="s">
        <v>11</v>
      </c>
      <c r="E4" s="2" t="s">
        <v>12</v>
      </c>
      <c r="F4" s="3" t="s">
        <v>13</v>
      </c>
      <c r="G4" s="4">
        <v>5</v>
      </c>
      <c r="H4" s="3" t="s">
        <v>14</v>
      </c>
    </row>
    <row r="5" spans="1:8" ht="20.100000000000001" customHeight="1">
      <c r="A5" s="5" t="s">
        <v>19</v>
      </c>
      <c r="B5" s="6" t="s">
        <v>9</v>
      </c>
      <c r="C5" s="5" t="s">
        <v>20</v>
      </c>
      <c r="D5" s="5" t="s">
        <v>21</v>
      </c>
      <c r="E5" s="5" t="s">
        <v>17</v>
      </c>
      <c r="F5" s="6" t="s">
        <v>13</v>
      </c>
      <c r="G5" s="7">
        <v>3</v>
      </c>
      <c r="H5" s="6" t="s">
        <v>14</v>
      </c>
    </row>
    <row r="6" spans="1:8" ht="20.100000000000001" customHeight="1">
      <c r="A6" s="2" t="s">
        <v>22</v>
      </c>
      <c r="B6" s="3" t="s">
        <v>9</v>
      </c>
      <c r="C6" s="2" t="s">
        <v>10</v>
      </c>
      <c r="D6" s="2" t="s">
        <v>11</v>
      </c>
      <c r="E6" s="2" t="s">
        <v>12</v>
      </c>
      <c r="F6" s="3" t="s">
        <v>13</v>
      </c>
      <c r="G6" s="4">
        <v>4</v>
      </c>
      <c r="H6" s="3" t="s">
        <v>14</v>
      </c>
    </row>
    <row r="7" spans="1:8" ht="20.100000000000001" customHeight="1">
      <c r="A7" s="5" t="s">
        <v>23</v>
      </c>
      <c r="B7" s="6" t="s">
        <v>9</v>
      </c>
      <c r="C7" s="5" t="s">
        <v>10</v>
      </c>
      <c r="D7" s="5" t="s">
        <v>24</v>
      </c>
      <c r="E7" s="5" t="s">
        <v>12</v>
      </c>
      <c r="F7" s="6" t="s">
        <v>13</v>
      </c>
      <c r="G7" s="7">
        <v>5</v>
      </c>
      <c r="H7" s="6" t="s">
        <v>14</v>
      </c>
    </row>
    <row r="8" spans="1:8" ht="20.100000000000001" customHeight="1">
      <c r="A8" s="2" t="s">
        <v>25</v>
      </c>
      <c r="B8" s="3" t="s">
        <v>9</v>
      </c>
      <c r="C8" s="2" t="s">
        <v>10</v>
      </c>
      <c r="D8" s="2" t="s">
        <v>24</v>
      </c>
      <c r="E8" s="2" t="s">
        <v>12</v>
      </c>
      <c r="F8" s="3" t="s">
        <v>13</v>
      </c>
      <c r="G8" s="4">
        <v>4</v>
      </c>
      <c r="H8" s="3" t="s">
        <v>14</v>
      </c>
    </row>
    <row r="9" spans="1:8" ht="20.100000000000001" customHeight="1">
      <c r="A9" s="5" t="s">
        <v>26</v>
      </c>
      <c r="B9" s="6" t="s">
        <v>9</v>
      </c>
      <c r="C9" s="5" t="s">
        <v>20</v>
      </c>
      <c r="D9" s="5" t="s">
        <v>11</v>
      </c>
      <c r="E9" s="5" t="s">
        <v>12</v>
      </c>
      <c r="F9" s="6" t="s">
        <v>13</v>
      </c>
      <c r="G9" s="7">
        <v>5</v>
      </c>
      <c r="H9" s="6" t="s">
        <v>27</v>
      </c>
    </row>
    <row r="10" spans="1:8" ht="20.100000000000001" customHeight="1">
      <c r="A10" s="2" t="s">
        <v>28</v>
      </c>
      <c r="B10" s="3" t="s">
        <v>9</v>
      </c>
      <c r="C10" s="2" t="s">
        <v>20</v>
      </c>
      <c r="D10" s="2" t="s">
        <v>11</v>
      </c>
      <c r="E10" s="2" t="s">
        <v>12</v>
      </c>
      <c r="F10" s="3" t="s">
        <v>13</v>
      </c>
      <c r="G10" s="4">
        <v>4</v>
      </c>
      <c r="H10" s="3" t="s">
        <v>14</v>
      </c>
    </row>
    <row r="11" spans="1:8" ht="20.100000000000001" customHeight="1">
      <c r="A11" s="5" t="s">
        <v>29</v>
      </c>
      <c r="B11" s="6" t="s">
        <v>9</v>
      </c>
      <c r="C11" s="5" t="s">
        <v>10</v>
      </c>
      <c r="D11" s="5" t="s">
        <v>24</v>
      </c>
      <c r="E11" s="5" t="s">
        <v>12</v>
      </c>
      <c r="F11" s="6" t="s">
        <v>30</v>
      </c>
      <c r="G11" s="7">
        <v>5</v>
      </c>
      <c r="H11" s="6" t="s">
        <v>14</v>
      </c>
    </row>
    <row r="12" spans="1:8" ht="20.100000000000001" customHeight="1">
      <c r="A12" s="2" t="s">
        <v>31</v>
      </c>
      <c r="B12" s="3" t="s">
        <v>9</v>
      </c>
      <c r="C12" s="2" t="s">
        <v>10</v>
      </c>
      <c r="D12" s="2" t="s">
        <v>16</v>
      </c>
      <c r="E12" s="2" t="s">
        <v>17</v>
      </c>
      <c r="F12" s="3" t="s">
        <v>13</v>
      </c>
      <c r="G12" s="4">
        <v>1</v>
      </c>
      <c r="H12" s="3" t="s">
        <v>14</v>
      </c>
    </row>
    <row r="13" spans="1:8" ht="20.100000000000001" customHeight="1">
      <c r="A13" s="5" t="s">
        <v>32</v>
      </c>
      <c r="B13" s="6" t="s">
        <v>9</v>
      </c>
      <c r="C13" s="5" t="s">
        <v>20</v>
      </c>
      <c r="D13" s="5" t="s">
        <v>11</v>
      </c>
      <c r="E13" s="5" t="s">
        <v>12</v>
      </c>
      <c r="F13" s="6" t="s">
        <v>30</v>
      </c>
      <c r="G13" s="7">
        <v>5</v>
      </c>
      <c r="H13" s="6" t="s">
        <v>14</v>
      </c>
    </row>
    <row r="14" spans="1:8" ht="20.100000000000001" customHeight="1">
      <c r="A14" s="2" t="s">
        <v>33</v>
      </c>
      <c r="B14" s="3" t="s">
        <v>9</v>
      </c>
      <c r="C14" s="2" t="s">
        <v>10</v>
      </c>
      <c r="D14" s="2" t="s">
        <v>24</v>
      </c>
      <c r="E14" s="2" t="s">
        <v>12</v>
      </c>
      <c r="F14" s="3" t="s">
        <v>13</v>
      </c>
      <c r="G14" s="4">
        <v>5</v>
      </c>
      <c r="H14" s="3" t="s">
        <v>14</v>
      </c>
    </row>
    <row r="15" spans="1:8" ht="20.100000000000001" customHeight="1">
      <c r="A15" s="5" t="s">
        <v>34</v>
      </c>
      <c r="B15" s="6" t="s">
        <v>9</v>
      </c>
      <c r="C15" s="5" t="s">
        <v>10</v>
      </c>
      <c r="D15" s="5" t="s">
        <v>24</v>
      </c>
      <c r="E15" s="5" t="s">
        <v>17</v>
      </c>
      <c r="F15" s="6" t="s">
        <v>13</v>
      </c>
      <c r="G15" s="7">
        <v>4</v>
      </c>
      <c r="H15" s="6" t="s">
        <v>14</v>
      </c>
    </row>
    <row r="16" spans="1:8" ht="20.100000000000001" customHeight="1">
      <c r="A16" s="2" t="s">
        <v>35</v>
      </c>
      <c r="B16" s="3" t="s">
        <v>9</v>
      </c>
      <c r="C16" s="2" t="s">
        <v>20</v>
      </c>
      <c r="D16" s="2" t="s">
        <v>11</v>
      </c>
      <c r="E16" s="2" t="s">
        <v>12</v>
      </c>
      <c r="F16" s="3" t="s">
        <v>13</v>
      </c>
      <c r="G16" s="4">
        <v>5</v>
      </c>
      <c r="H16" s="3" t="s">
        <v>14</v>
      </c>
    </row>
    <row r="17" spans="1:8" ht="20.100000000000001" customHeight="1">
      <c r="A17" s="5" t="s">
        <v>36</v>
      </c>
      <c r="B17" s="6" t="s">
        <v>9</v>
      </c>
      <c r="C17" s="5" t="s">
        <v>20</v>
      </c>
      <c r="D17" s="5" t="s">
        <v>16</v>
      </c>
      <c r="E17" s="5" t="s">
        <v>17</v>
      </c>
      <c r="F17" s="6" t="s">
        <v>30</v>
      </c>
      <c r="G17" s="7">
        <v>2</v>
      </c>
      <c r="H17" s="6" t="s">
        <v>14</v>
      </c>
    </row>
    <row r="18" spans="1:8" ht="20.100000000000001" customHeight="1">
      <c r="A18" s="2" t="s">
        <v>37</v>
      </c>
      <c r="B18" s="3" t="s">
        <v>9</v>
      </c>
      <c r="C18" s="2" t="s">
        <v>20</v>
      </c>
      <c r="D18" s="2" t="s">
        <v>11</v>
      </c>
      <c r="E18" s="2" t="s">
        <v>17</v>
      </c>
      <c r="F18" s="3" t="s">
        <v>13</v>
      </c>
      <c r="G18" s="4">
        <v>5</v>
      </c>
      <c r="H18" s="3" t="s">
        <v>14</v>
      </c>
    </row>
    <row r="19" spans="1:8" ht="20.100000000000001" customHeight="1">
      <c r="A19" s="5" t="s">
        <v>38</v>
      </c>
      <c r="B19" s="6" t="s">
        <v>9</v>
      </c>
      <c r="C19" s="5" t="s">
        <v>39</v>
      </c>
      <c r="D19" s="5" t="s">
        <v>24</v>
      </c>
      <c r="E19" s="5" t="s">
        <v>12</v>
      </c>
      <c r="F19" s="6" t="s">
        <v>13</v>
      </c>
      <c r="G19" s="7">
        <v>5</v>
      </c>
      <c r="H19" s="6" t="s">
        <v>14</v>
      </c>
    </row>
    <row r="20" spans="1:8" ht="20.100000000000001" customHeight="1">
      <c r="A20" s="2" t="s">
        <v>40</v>
      </c>
      <c r="B20" s="3" t="s">
        <v>9</v>
      </c>
      <c r="C20" s="2" t="s">
        <v>10</v>
      </c>
      <c r="D20" s="2" t="s">
        <v>21</v>
      </c>
      <c r="E20" s="2" t="s">
        <v>17</v>
      </c>
      <c r="F20" s="3" t="s">
        <v>41</v>
      </c>
      <c r="G20" s="4">
        <v>4</v>
      </c>
      <c r="H20" s="3" t="s">
        <v>14</v>
      </c>
    </row>
    <row r="21" spans="1:8" ht="20.100000000000001" customHeight="1">
      <c r="A21" s="5" t="s">
        <v>42</v>
      </c>
      <c r="B21" s="6" t="s">
        <v>9</v>
      </c>
      <c r="C21" s="5" t="s">
        <v>39</v>
      </c>
      <c r="D21" s="5" t="s">
        <v>11</v>
      </c>
      <c r="E21" s="5" t="s">
        <v>12</v>
      </c>
      <c r="F21" s="6" t="s">
        <v>13</v>
      </c>
      <c r="G21" s="7">
        <v>5</v>
      </c>
      <c r="H21" s="6" t="s">
        <v>14</v>
      </c>
    </row>
    <row r="22" spans="1:8" ht="20.100000000000001" customHeight="1">
      <c r="A22" s="2" t="s">
        <v>43</v>
      </c>
      <c r="B22" s="3" t="s">
        <v>9</v>
      </c>
      <c r="C22" s="2" t="s">
        <v>10</v>
      </c>
      <c r="D22" s="2" t="s">
        <v>11</v>
      </c>
      <c r="E22" s="2" t="s">
        <v>12</v>
      </c>
      <c r="F22" s="3" t="s">
        <v>13</v>
      </c>
      <c r="G22" s="4">
        <v>5</v>
      </c>
      <c r="H22" s="3" t="s">
        <v>14</v>
      </c>
    </row>
    <row r="23" spans="1:8" ht="20.100000000000001" customHeight="1">
      <c r="A23" s="5" t="s">
        <v>44</v>
      </c>
      <c r="B23" s="6" t="s">
        <v>9</v>
      </c>
      <c r="C23" s="5" t="s">
        <v>20</v>
      </c>
      <c r="D23" s="5" t="s">
        <v>21</v>
      </c>
      <c r="E23" s="5" t="s">
        <v>17</v>
      </c>
      <c r="F23" s="6" t="s">
        <v>13</v>
      </c>
      <c r="G23" s="7">
        <v>3</v>
      </c>
      <c r="H23" s="6" t="s">
        <v>14</v>
      </c>
    </row>
    <row r="24" spans="1:8" ht="20.100000000000001" customHeight="1">
      <c r="A24" s="2" t="s">
        <v>45</v>
      </c>
      <c r="B24" s="3" t="s">
        <v>9</v>
      </c>
      <c r="C24" s="2" t="s">
        <v>10</v>
      </c>
      <c r="D24" s="2" t="s">
        <v>11</v>
      </c>
      <c r="E24" s="2" t="s">
        <v>12</v>
      </c>
      <c r="F24" s="3" t="s">
        <v>13</v>
      </c>
      <c r="G24" s="4">
        <v>5</v>
      </c>
      <c r="H24" s="3" t="s">
        <v>14</v>
      </c>
    </row>
    <row r="25" spans="1:8" ht="20.100000000000001" customHeight="1">
      <c r="A25" s="5" t="s">
        <v>46</v>
      </c>
      <c r="B25" s="6" t="s">
        <v>9</v>
      </c>
      <c r="C25" s="5" t="s">
        <v>10</v>
      </c>
      <c r="D25" s="5" t="s">
        <v>11</v>
      </c>
      <c r="E25" s="5" t="s">
        <v>12</v>
      </c>
      <c r="F25" s="6" t="s">
        <v>13</v>
      </c>
      <c r="G25" s="7">
        <v>5</v>
      </c>
      <c r="H25" s="6" t="s">
        <v>14</v>
      </c>
    </row>
    <row r="26" spans="1:8" ht="20.100000000000001" customHeight="1">
      <c r="A26" s="2" t="s">
        <v>47</v>
      </c>
      <c r="B26" s="3" t="s">
        <v>9</v>
      </c>
      <c r="C26" s="2" t="s">
        <v>10</v>
      </c>
      <c r="D26" s="2" t="s">
        <v>16</v>
      </c>
      <c r="E26" s="2" t="s">
        <v>17</v>
      </c>
      <c r="F26" s="3" t="s">
        <v>30</v>
      </c>
      <c r="G26" s="4">
        <v>1</v>
      </c>
      <c r="H26" s="3" t="s">
        <v>14</v>
      </c>
    </row>
    <row r="27" spans="1:8" ht="20.100000000000001" customHeight="1">
      <c r="A27" s="5" t="s">
        <v>48</v>
      </c>
      <c r="B27" s="6" t="s">
        <v>9</v>
      </c>
      <c r="C27" s="5" t="s">
        <v>20</v>
      </c>
      <c r="D27" s="5" t="s">
        <v>21</v>
      </c>
      <c r="E27" s="5" t="s">
        <v>17</v>
      </c>
      <c r="F27" s="6" t="s">
        <v>13</v>
      </c>
      <c r="G27" s="7">
        <v>3</v>
      </c>
      <c r="H27" s="6" t="s">
        <v>14</v>
      </c>
    </row>
    <row r="28" spans="1:8" ht="20.100000000000001" customHeight="1">
      <c r="A28" s="2" t="s">
        <v>49</v>
      </c>
      <c r="B28" s="3" t="s">
        <v>9</v>
      </c>
      <c r="C28" s="2" t="s">
        <v>20</v>
      </c>
      <c r="D28" s="2" t="s">
        <v>24</v>
      </c>
      <c r="E28" s="2" t="s">
        <v>12</v>
      </c>
      <c r="F28" s="3" t="s">
        <v>13</v>
      </c>
      <c r="G28" s="4">
        <v>5</v>
      </c>
      <c r="H28" s="3" t="s">
        <v>14</v>
      </c>
    </row>
    <row r="29" spans="1:8" ht="20.100000000000001" customHeight="1">
      <c r="A29" s="5" t="s">
        <v>50</v>
      </c>
      <c r="B29" s="6" t="s">
        <v>9</v>
      </c>
      <c r="C29" s="5" t="s">
        <v>10</v>
      </c>
      <c r="D29" s="5" t="s">
        <v>11</v>
      </c>
      <c r="E29" s="5" t="s">
        <v>12</v>
      </c>
      <c r="F29" s="6" t="s">
        <v>13</v>
      </c>
      <c r="G29" s="7">
        <v>5</v>
      </c>
      <c r="H29" s="6" t="s">
        <v>14</v>
      </c>
    </row>
    <row r="30" spans="1:8" ht="20.100000000000001" customHeight="1">
      <c r="A30" s="2" t="s">
        <v>51</v>
      </c>
      <c r="B30" s="3" t="s">
        <v>9</v>
      </c>
      <c r="C30" s="2" t="s">
        <v>10</v>
      </c>
      <c r="D30" s="2" t="s">
        <v>24</v>
      </c>
      <c r="E30" s="2" t="s">
        <v>12</v>
      </c>
      <c r="F30" s="3" t="s">
        <v>41</v>
      </c>
      <c r="G30" s="4">
        <v>5</v>
      </c>
      <c r="H30" s="3" t="s">
        <v>14</v>
      </c>
    </row>
    <row r="31" spans="1:8" ht="20.100000000000001" customHeight="1">
      <c r="A31" s="5" t="s">
        <v>52</v>
      </c>
      <c r="B31" s="6" t="s">
        <v>9</v>
      </c>
      <c r="C31" s="5" t="s">
        <v>10</v>
      </c>
      <c r="D31" s="5" t="s">
        <v>11</v>
      </c>
      <c r="E31" s="5" t="s">
        <v>12</v>
      </c>
      <c r="F31" s="6" t="s">
        <v>13</v>
      </c>
      <c r="G31" s="7">
        <v>5</v>
      </c>
      <c r="H31" s="6" t="s">
        <v>53</v>
      </c>
    </row>
    <row r="32" spans="1:8" ht="20.100000000000001" customHeight="1">
      <c r="A32" s="2" t="s">
        <v>54</v>
      </c>
      <c r="B32" s="3" t="s">
        <v>9</v>
      </c>
      <c r="C32" s="2" t="s">
        <v>10</v>
      </c>
      <c r="D32" s="2" t="s">
        <v>11</v>
      </c>
      <c r="E32" s="2" t="s">
        <v>17</v>
      </c>
      <c r="F32" s="3" t="s">
        <v>13</v>
      </c>
      <c r="G32" s="4">
        <v>5</v>
      </c>
      <c r="H32" s="3" t="s">
        <v>14</v>
      </c>
    </row>
    <row r="33" spans="1:8" ht="20.100000000000001" customHeight="1">
      <c r="A33" s="5" t="s">
        <v>55</v>
      </c>
      <c r="B33" s="6" t="s">
        <v>9</v>
      </c>
      <c r="C33" s="5" t="s">
        <v>10</v>
      </c>
      <c r="D33" s="5" t="s">
        <v>11</v>
      </c>
      <c r="E33" s="5" t="s">
        <v>17</v>
      </c>
      <c r="F33" s="6" t="s">
        <v>13</v>
      </c>
      <c r="G33" s="7">
        <v>5</v>
      </c>
      <c r="H33" s="6" t="s">
        <v>14</v>
      </c>
    </row>
    <row r="34" spans="1:8" ht="20.100000000000001" customHeight="1">
      <c r="A34" s="2" t="s">
        <v>56</v>
      </c>
      <c r="B34" s="3" t="s">
        <v>57</v>
      </c>
      <c r="C34" s="2" t="s">
        <v>10</v>
      </c>
      <c r="D34" s="2" t="s">
        <v>11</v>
      </c>
      <c r="E34" s="2" t="s">
        <v>12</v>
      </c>
      <c r="F34" s="3" t="s">
        <v>30</v>
      </c>
      <c r="G34" s="4">
        <v>5</v>
      </c>
      <c r="H34" s="3" t="s">
        <v>27</v>
      </c>
    </row>
    <row r="35" spans="1:8" ht="20.100000000000001" customHeight="1">
      <c r="A35" s="5" t="s">
        <v>58</v>
      </c>
      <c r="B35" s="6" t="s">
        <v>57</v>
      </c>
      <c r="C35" s="5" t="s">
        <v>20</v>
      </c>
      <c r="D35" s="5" t="s">
        <v>11</v>
      </c>
      <c r="E35" s="5" t="s">
        <v>17</v>
      </c>
      <c r="F35" s="6" t="s">
        <v>13</v>
      </c>
      <c r="G35" s="7">
        <v>5</v>
      </c>
      <c r="H35" s="6" t="s">
        <v>14</v>
      </c>
    </row>
    <row r="36" spans="1:8" ht="20.100000000000001" customHeight="1">
      <c r="A36" s="2" t="s">
        <v>59</v>
      </c>
      <c r="B36" s="3" t="s">
        <v>57</v>
      </c>
      <c r="C36" s="2" t="s">
        <v>20</v>
      </c>
      <c r="D36" s="2" t="s">
        <v>16</v>
      </c>
      <c r="E36" s="2" t="s">
        <v>17</v>
      </c>
      <c r="F36" s="3" t="s">
        <v>30</v>
      </c>
      <c r="G36" s="4">
        <v>3</v>
      </c>
      <c r="H36" s="3" t="s">
        <v>27</v>
      </c>
    </row>
    <row r="37" spans="1:8" ht="20.100000000000001" customHeight="1">
      <c r="A37" s="5" t="s">
        <v>60</v>
      </c>
      <c r="B37" s="6" t="s">
        <v>57</v>
      </c>
      <c r="C37" s="5" t="s">
        <v>10</v>
      </c>
      <c r="D37" s="5" t="s">
        <v>11</v>
      </c>
      <c r="E37" s="5" t="s">
        <v>17</v>
      </c>
      <c r="F37" s="6" t="s">
        <v>41</v>
      </c>
      <c r="G37" s="7">
        <v>5</v>
      </c>
      <c r="H37" s="6" t="s">
        <v>14</v>
      </c>
    </row>
    <row r="38" spans="1:8" ht="20.100000000000001" customHeight="1">
      <c r="A38" s="2" t="s">
        <v>61</v>
      </c>
      <c r="B38" s="3" t="s">
        <v>57</v>
      </c>
      <c r="C38" s="2" t="s">
        <v>10</v>
      </c>
      <c r="D38" s="2" t="s">
        <v>24</v>
      </c>
      <c r="E38" s="2" t="s">
        <v>12</v>
      </c>
      <c r="F38" s="3" t="s">
        <v>13</v>
      </c>
      <c r="G38" s="4">
        <v>5</v>
      </c>
      <c r="H38" s="3" t="s">
        <v>27</v>
      </c>
    </row>
    <row r="39" spans="1:8" ht="20.100000000000001" customHeight="1">
      <c r="A39" s="5" t="s">
        <v>62</v>
      </c>
      <c r="B39" s="6" t="s">
        <v>57</v>
      </c>
      <c r="C39" s="5" t="s">
        <v>20</v>
      </c>
      <c r="D39" s="5" t="s">
        <v>21</v>
      </c>
      <c r="E39" s="5" t="s">
        <v>17</v>
      </c>
      <c r="F39" s="6" t="s">
        <v>13</v>
      </c>
      <c r="G39" s="7">
        <v>4</v>
      </c>
      <c r="H39" s="6" t="s">
        <v>27</v>
      </c>
    </row>
    <row r="40" spans="1:8" ht="20.100000000000001" customHeight="1">
      <c r="A40" s="2" t="s">
        <v>63</v>
      </c>
      <c r="B40" s="3" t="s">
        <v>57</v>
      </c>
      <c r="C40" s="2" t="s">
        <v>20</v>
      </c>
      <c r="D40" s="2" t="s">
        <v>11</v>
      </c>
      <c r="E40" s="2" t="s">
        <v>12</v>
      </c>
      <c r="F40" s="3" t="s">
        <v>13</v>
      </c>
      <c r="G40" s="4">
        <v>4</v>
      </c>
      <c r="H40" s="3" t="s">
        <v>27</v>
      </c>
    </row>
    <row r="41" spans="1:8" ht="20.100000000000001" customHeight="1">
      <c r="A41" s="5" t="s">
        <v>64</v>
      </c>
      <c r="B41" s="6" t="s">
        <v>57</v>
      </c>
      <c r="C41" s="5" t="s">
        <v>20</v>
      </c>
      <c r="D41" s="5" t="s">
        <v>11</v>
      </c>
      <c r="E41" s="5" t="s">
        <v>12</v>
      </c>
      <c r="F41" s="6" t="s">
        <v>13</v>
      </c>
      <c r="G41" s="7">
        <v>4</v>
      </c>
      <c r="H41" s="6" t="s">
        <v>27</v>
      </c>
    </row>
  </sheetData>
  <autoFilter ref="A1:H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5"/>
  <sheetViews>
    <sheetView workbookViewId="0"/>
  </sheetViews>
  <sheetFormatPr defaultRowHeight="15"/>
  <cols>
    <col min="1" max="1" width="3" customWidth="1"/>
    <col min="2" max="2" width="26" customWidth="1"/>
    <col min="3" max="4" width="15" customWidth="1"/>
    <col min="5" max="5" width="12" customWidth="1"/>
    <col min="6" max="6" width="26" customWidth="1"/>
    <col min="7" max="8" width="15" customWidth="1"/>
    <col min="9" max="9" width="12" customWidth="1"/>
  </cols>
  <sheetData>
    <row r="2" spans="2:9" ht="25.5">
      <c r="B2" s="8" t="s">
        <v>65</v>
      </c>
    </row>
    <row r="3" spans="2:9">
      <c r="B3" s="9" t="s">
        <v>66</v>
      </c>
    </row>
    <row r="5" spans="2:9">
      <c r="B5" s="21" t="s">
        <v>67</v>
      </c>
      <c r="C5" s="19"/>
      <c r="D5" s="21" t="s">
        <v>68</v>
      </c>
      <c r="E5" s="19"/>
      <c r="F5" s="21" t="s">
        <v>69</v>
      </c>
      <c r="G5" s="19"/>
      <c r="H5" s="21" t="s">
        <v>70</v>
      </c>
      <c r="I5" s="19"/>
    </row>
    <row r="6" spans="2:9" ht="20.25">
      <c r="B6" s="20">
        <f>COUNTA('Raw Responses'!B2:B41)</f>
        <v>40</v>
      </c>
      <c r="C6" s="19"/>
      <c r="D6" s="18">
        <f>COUNTIF('Raw Responses'!E2:E41, "Yes")/COUNTA('Raw Responses'!E2:E41)</f>
        <v>0.6</v>
      </c>
      <c r="E6" s="19"/>
      <c r="F6" s="22">
        <f>AVERAGE('Raw Responses'!G2:G41)</f>
        <v>4.25</v>
      </c>
      <c r="G6" s="19"/>
      <c r="H6" s="18">
        <f>COUNTIF('Raw Responses'!B2:B41, "Student")/COUNTA('Raw Responses'!B2:B41)</f>
        <v>0.8</v>
      </c>
      <c r="I6" s="19"/>
    </row>
    <row r="9" spans="2:9" ht="17.25">
      <c r="B9" s="10" t="s">
        <v>71</v>
      </c>
      <c r="F9" s="10" t="s">
        <v>72</v>
      </c>
    </row>
    <row r="10" spans="2:9" ht="16.5">
      <c r="B10" s="11" t="s">
        <v>73</v>
      </c>
      <c r="C10" s="11" t="s">
        <v>74</v>
      </c>
      <c r="D10" s="11" t="s">
        <v>75</v>
      </c>
      <c r="F10" s="11" t="s">
        <v>76</v>
      </c>
      <c r="G10" s="11" t="s">
        <v>77</v>
      </c>
      <c r="H10" s="11" t="s">
        <v>75</v>
      </c>
    </row>
    <row r="11" spans="2:9">
      <c r="B11" s="12" t="s">
        <v>13</v>
      </c>
      <c r="C11" s="13">
        <f>COUNTIF('Raw Responses'!F$2:F$41, "Long queues")</f>
        <v>31</v>
      </c>
      <c r="D11" s="14">
        <f>C11/COUNT( 'Raw Responses'!G$2:G$41 )</f>
        <v>0.77500000000000002</v>
      </c>
      <c r="F11" s="12" t="s">
        <v>16</v>
      </c>
      <c r="G11" s="13">
        <f>COUNTIF('Raw Responses'!D$2:D$41, "Less than 5 mins")</f>
        <v>5</v>
      </c>
      <c r="H11" s="14">
        <f>G11/COUNT( 'Raw Responses'!G$2:G$41 )</f>
        <v>0.125</v>
      </c>
    </row>
    <row r="12" spans="2:9">
      <c r="B12" s="12" t="s">
        <v>30</v>
      </c>
      <c r="C12" s="13">
        <f>COUNTIF('Raw Responses'!F$2:F$41, "Food runs out")</f>
        <v>6</v>
      </c>
      <c r="D12" s="14">
        <f>C12/COUNT( 'Raw Responses'!G$2:G$41 )</f>
        <v>0.15</v>
      </c>
      <c r="F12" s="12" t="s">
        <v>21</v>
      </c>
      <c r="G12" s="13">
        <f>COUNTIF('Raw Responses'!D$2:D$41, "5-10 mins")</f>
        <v>5</v>
      </c>
      <c r="H12" s="14">
        <f>G12/COUNT( 'Raw Responses'!G$2:G$41 )</f>
        <v>0.125</v>
      </c>
    </row>
    <row r="13" spans="2:9">
      <c r="B13" s="12" t="s">
        <v>41</v>
      </c>
      <c r="C13" s="13">
        <f>COUNTIF('Raw Responses'!F$2:F$41, "Cash-only vendors")</f>
        <v>3</v>
      </c>
      <c r="D13" s="14">
        <f>C13/COUNT( 'Raw Responses'!G$2:G$41 )</f>
        <v>7.4999999999999997E-2</v>
      </c>
      <c r="F13" s="12" t="s">
        <v>11</v>
      </c>
      <c r="G13" s="13">
        <f>COUNTIF('Raw Responses'!D$2:D$41, "11-20 mins")</f>
        <v>21</v>
      </c>
      <c r="H13" s="14">
        <f>G13/COUNT( 'Raw Responses'!G$2:G$41 )</f>
        <v>0.52500000000000002</v>
      </c>
    </row>
    <row r="14" spans="2:9">
      <c r="B14" s="12" t="s">
        <v>78</v>
      </c>
      <c r="C14" s="13">
        <f>COUNTIF('Raw Responses'!F$2:F$41, "Manual ticket confusion")</f>
        <v>0</v>
      </c>
      <c r="D14" s="14">
        <f>C14/COUNT( 'Raw Responses'!G$2:G$41 )</f>
        <v>0</v>
      </c>
      <c r="F14" s="12" t="s">
        <v>24</v>
      </c>
      <c r="G14" s="13">
        <f>COUNTIF('Raw Responses'!D$2:D$41, "More than 20 mins")</f>
        <v>9</v>
      </c>
      <c r="H14" s="14">
        <f>G14/COUNT( 'Raw Responses'!G$2:G$41 )</f>
        <v>0.22500000000000001</v>
      </c>
    </row>
    <row r="15" spans="2:9">
      <c r="B15" s="15" t="s">
        <v>79</v>
      </c>
      <c r="C15" s="16">
        <f>SUM(C11:C14)</f>
        <v>40</v>
      </c>
      <c r="D15" s="17">
        <f>SUM(D11:D14)</f>
        <v>1</v>
      </c>
      <c r="F15" s="15" t="s">
        <v>79</v>
      </c>
      <c r="G15" s="16">
        <f>SUM(G11:G14)</f>
        <v>40</v>
      </c>
      <c r="H15" s="17">
        <f>SUM(H11:H14)</f>
        <v>1</v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Responses</vt:lpstr>
      <vt:lpstr>Dashboard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</cp:lastModifiedBy>
  <dcterms:created xsi:type="dcterms:W3CDTF">2026-06-23T02:37:47Z</dcterms:created>
  <dcterms:modified xsi:type="dcterms:W3CDTF">2026-06-23T03:27:00Z</dcterms:modified>
</cp:coreProperties>
</file>